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purl.oclc.org/ooxml/officeDocument/relationships/metadata/thumbnail" Target="docProps/thumbnail.emf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InternNova 3\"/>
    </mc:Choice>
  </mc:AlternateContent>
  <xr:revisionPtr revIDLastSave="0" documentId="13_ncr:9_{A7C8240D-DA76-4C8B-8364-CA0EE0353310}" xr6:coauthVersionLast="47" xr6:coauthVersionMax="47" xr10:uidLastSave="{00000000-0000-0000-0000-000000000000}"/>
  <bookViews>
    <workbookView xWindow="-108" yWindow="492" windowWidth="23256" windowHeight="11856" xr2:uid="{C872379F-CDF8-4845-9335-A93824C3F890}"/>
  </bookViews>
  <sheets>
    <sheet name="Employees" sheetId="1" r:id="rId1"/>
    <sheet name="Departments" sheetId="5" r:id="rId2"/>
  </sheets>
  <definedNames>
    <definedName name="ExternalData_1" localSheetId="1" hidden="1">Departments!$A$1:$C$6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2" i="1" l="1"/>
  <c r="G3" i="1"/>
  <c r="G4" i="1"/>
  <c r="G5" i="1"/>
  <c r="G6" i="1"/>
  <c r="G7" i="1"/>
  <c r="G8" i="1"/>
  <c r="G9" i="1"/>
  <c r="G10" i="1"/>
  <c r="G11" i="1"/>
  <c r="H2" i="1"/>
  <c r="H3" i="1"/>
  <c r="H4" i="1"/>
  <c r="H5" i="1"/>
  <c r="H6" i="1"/>
  <c r="H7" i="1"/>
  <c r="H8" i="1"/>
  <c r="H9" i="1"/>
  <c r="H10" i="1"/>
  <c r="H11" i="1"/>
  <c r="L13" i="1"/>
  <c r="K13" i="1"/>
  <c r="F11" i="1"/>
  <c r="F10" i="1"/>
  <c r="F9" i="1"/>
  <c r="F8" i="1"/>
  <c r="F7" i="1"/>
  <c r="F6" i="1"/>
  <c r="F5" i="1"/>
  <c r="F4" i="1"/>
  <c r="F3" i="1"/>
  <c r="F2" i="1"/>
</calcChain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BCA381C0-7BC8-4044-BCC0-F2F7A0AD1A3F}" keepAlive="1" name="Query - Departments" description="Connection to the 'Departments' query in the workbook." type="5" refreshedVersion="8" background="1" saveData="1">
    <dbPr connection="Provider=Microsoft.Mashup.OleDb.1;Data Source=$Workbook$;Location=Departments;Extended Properties=&quot;&quot;" command="SELECT * FROM [Departments]"/>
  </connection>
</connections>
</file>

<file path=xl/sharedStrings.xml><?xml version="1.0" encoding="utf-8"?>
<sst xmlns="http://purl.oclc.org/ooxml/spreadsheetml/main" count="43" uniqueCount="33">
  <si>
    <t>Employee_ID</t>
  </si>
  <si>
    <t>Employee_Name</t>
  </si>
  <si>
    <t>Department</t>
  </si>
  <si>
    <t>Salary</t>
  </si>
  <si>
    <t>Rahul</t>
  </si>
  <si>
    <t>IT</t>
  </si>
  <si>
    <t>Priya</t>
  </si>
  <si>
    <t>HR</t>
  </si>
  <si>
    <t>Arjun</t>
  </si>
  <si>
    <t>Sneha</t>
  </si>
  <si>
    <t>Finance</t>
  </si>
  <si>
    <t>Kiran</t>
  </si>
  <si>
    <t>Sales</t>
  </si>
  <si>
    <t>Anjali</t>
  </si>
  <si>
    <t>Ravi</t>
  </si>
  <si>
    <t>Divya</t>
  </si>
  <si>
    <t>Manoj</t>
  </si>
  <si>
    <t>Neha</t>
  </si>
  <si>
    <t>Salary Category</t>
  </si>
  <si>
    <t>Number Of IT Employees</t>
  </si>
  <si>
    <t>Total IT Salary</t>
  </si>
  <si>
    <t>department_id</t>
  </si>
  <si>
    <t>department</t>
  </si>
  <si>
    <t>manager</t>
  </si>
  <si>
    <t>Suresh</t>
  </si>
  <si>
    <t>Lakshmi</t>
  </si>
  <si>
    <t>Ramesh</t>
  </si>
  <si>
    <t>Anil</t>
  </si>
  <si>
    <t>Marketing</t>
  </si>
  <si>
    <t>Kavya</t>
  </si>
  <si>
    <t>Department ID</t>
  </si>
  <si>
    <t>VLOOKUP Department</t>
  </si>
  <si>
    <t>XLOOKUP Department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</si>
</sst>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1.xml"/><Relationship Id="rId3" Type="http://purl.oclc.org/ooxml/officeDocument/relationships/theme" Target="theme/theme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connections" Target="connection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80B90DED-A111-44CA-B791-F9BE8C71FF27}" autoFormatId="16" applyNumberFormats="0" applyBorderFormats="0" applyFontFormats="0" applyPatternFormats="0" applyAlignmentFormats="0" applyWidthHeightFormats="0">
  <queryTableRefresh nextId="4">
    <queryTableFields count="3">
      <queryTableField id="1" name="department_id" tableColumnId="1"/>
      <queryTableField id="2" name="department" tableColumnId="2"/>
      <queryTableField id="3" name="manager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9EE9A1B-62FF-4769-8A1D-D8264D7EF2F2}" name="Table1" displayName="Table1" ref="A1:E11" totalsRowShown="0">
  <autoFilter ref="A1:E11" xr:uid="{F9EE9A1B-62FF-4769-8A1D-D8264D7EF2F2}"/>
  <sortState xmlns:xlrd2="http://schemas.microsoft.com/office/spreadsheetml/2017/richdata2" ref="A2:E11">
    <sortCondition ref="A1:A11"/>
  </sortState>
  <tableColumns count="5">
    <tableColumn id="1" xr3:uid="{C2867618-C0EB-4702-8F3A-F68DCE0B01DD}" name="Employee_ID"/>
    <tableColumn id="2" xr3:uid="{A6FC8406-E839-43E2-8EEC-5601DA354059}" name="Employee_Name"/>
    <tableColumn id="7" xr3:uid="{A1710B15-AD0F-4EA3-BEAC-6F4D682F57B2}" name="Department ID"/>
    <tableColumn id="3" xr3:uid="{BE2F7213-0AC5-4B8F-9A74-385C002C65F7}" name="Department"/>
    <tableColumn id="4" xr3:uid="{D7C724E5-D1DC-4D40-A2BE-0C6D7E632CBB}" name="Salary"/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D86D2DD3-C9C1-4B6A-BDBA-032FFD2FF731}" name="Table2" displayName="Table2" ref="F1:H11" totalsRowShown="0">
  <autoFilter ref="F1:H11" xr:uid="{D86D2DD3-C9C1-4B6A-BDBA-032FFD2FF731}"/>
  <tableColumns count="3">
    <tableColumn id="1" xr3:uid="{20ED21D3-FC24-4531-AC43-7F33E5B313AD}" name="Salary Category">
      <calculatedColumnFormula>IF(E2&gt;60000,"High Salary","Normal Salary")</calculatedColumnFormula>
    </tableColumn>
    <tableColumn id="2" xr3:uid="{1B01C5F4-5769-499E-B224-0A0394ED937B}" name="VLOOKUP Department" dataDxfId="2">
      <calculatedColumnFormula>VLOOKUP(C2,Departments!$A$2:$C$6,2,FALSE)</calculatedColumnFormula>
    </tableColumn>
    <tableColumn id="3" xr3:uid="{2185928D-9045-46CD-9D3A-7FB9CA59F521}" name="XLOOKUP Department" dataDxfId="1">
      <calculatedColumnFormula>_xlfn.XLOOKUP(C2,Departments!$A$2:$A$6,Departments!$B$2:$B$6)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4" xr:uid="{82447093-062E-4EF4-BB89-ADD12C2F3310}" name="Departments" displayName="Departments" ref="A1:C6" tableType="queryTable" totalsRowShown="0">
  <autoFilter ref="A1:C6" xr:uid="{82447093-062E-4EF4-BB89-ADD12C2F3310}"/>
  <tableColumns count="3">
    <tableColumn id="1" xr3:uid="{6319F235-3951-49B5-BBD0-86F7127A171B}" uniqueName="1" name="department_id" queryTableFieldId="1"/>
    <tableColumn id="2" xr3:uid="{124E26CD-7CE7-43A3-A91F-7D13DDF742F9}" uniqueName="2" name="department" queryTableFieldId="2" dataDxfId="4"/>
    <tableColumn id="3" xr3:uid="{DCC89B15-E8AC-497B-B695-BAEE9E83B2C1}" uniqueName="3" name="manager" queryTableFieldId="3" dataDxfId="3"/>
  </tableColumns>
  <tableStyleInfo name="TableStyleMedium9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2.xml"/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3E6A-A55C-4D19-B705-BDB2359F8ABC}">
  <dimension ref="A1:L13"/>
  <sheetViews>
    <sheetView tabSelected="1" workbookViewId="0">
      <selection activeCell="F22" sqref="F22"/>
    </sheetView>
  </sheetViews>
  <sheetFormatPr defaultRowHeight="14.4" x14ac:dyDescent="0.3"/>
  <cols>
    <col min="1" max="1" width="13.6640625" customWidth="1"/>
    <col min="2" max="3" width="16.88671875" customWidth="1"/>
    <col min="4" max="4" width="12.88671875" customWidth="1"/>
    <col min="6" max="6" width="15.77734375" customWidth="1"/>
    <col min="7" max="8" width="21.88671875" bestFit="1" customWidth="1"/>
    <col min="11" max="11" width="20.6640625" bestFit="1" customWidth="1"/>
    <col min="12" max="12" width="11.77734375" bestFit="1" customWidth="1"/>
  </cols>
  <sheetData>
    <row r="1" spans="1:12" x14ac:dyDescent="0.3">
      <c r="A1" t="s">
        <v>0</v>
      </c>
      <c r="B1" t="s">
        <v>1</v>
      </c>
      <c r="C1" t="s">
        <v>30</v>
      </c>
      <c r="D1" t="s">
        <v>2</v>
      </c>
      <c r="E1" t="s">
        <v>3</v>
      </c>
      <c r="F1" t="s">
        <v>18</v>
      </c>
      <c r="G1" t="s">
        <v>31</v>
      </c>
      <c r="H1" t="s">
        <v>32</v>
      </c>
    </row>
    <row r="2" spans="1:12" x14ac:dyDescent="0.3">
      <c r="A2">
        <v>1</v>
      </c>
      <c r="B2" t="s">
        <v>4</v>
      </c>
      <c r="C2">
        <v>1</v>
      </c>
      <c r="D2" t="s">
        <v>5</v>
      </c>
      <c r="E2">
        <v>60000</v>
      </c>
      <c r="F2" t="str">
        <f>IF(E2&gt;60000,"High Salary","Normal Salary")</f>
        <v>Normal Salary</v>
      </c>
      <c r="G2" t="str">
        <f>VLOOKUP(C2,Departments!$A$2:$C$6,2,FALSE)</f>
        <v>IT</v>
      </c>
      <c r="H2" t="str">
        <f>_xlfn.XLOOKUP(C2,Departments!$A$2:$A$6,Departments!$B$2:$B$6)</f>
        <v>IT</v>
      </c>
    </row>
    <row r="3" spans="1:12" x14ac:dyDescent="0.3">
      <c r="A3">
        <v>2</v>
      </c>
      <c r="B3" t="s">
        <v>6</v>
      </c>
      <c r="C3">
        <v>2</v>
      </c>
      <c r="D3" t="s">
        <v>7</v>
      </c>
      <c r="E3">
        <v>45000</v>
      </c>
      <c r="F3" t="str">
        <f t="shared" ref="F3:F11" si="0">IF(E3&gt;60000,"High Salary","Normal Salary")</f>
        <v>Normal Salary</v>
      </c>
      <c r="G3" t="str">
        <f>VLOOKUP(C3,Departments!$A$2:$C$6,2,FALSE)</f>
        <v>HR</v>
      </c>
      <c r="H3" t="str">
        <f>_xlfn.XLOOKUP(C3,Departments!$A$2:$A$6,Departments!$B$2:$B$6)</f>
        <v>HR</v>
      </c>
    </row>
    <row r="4" spans="1:12" x14ac:dyDescent="0.3">
      <c r="A4">
        <v>3</v>
      </c>
      <c r="B4" t="s">
        <v>8</v>
      </c>
      <c r="C4">
        <v>1</v>
      </c>
      <c r="D4" t="s">
        <v>5</v>
      </c>
      <c r="E4">
        <v>75000</v>
      </c>
      <c r="F4" t="str">
        <f t="shared" si="0"/>
        <v>High Salary</v>
      </c>
      <c r="G4" t="str">
        <f>VLOOKUP(C4,Departments!$A$2:$C$6,2,FALSE)</f>
        <v>IT</v>
      </c>
      <c r="H4" t="str">
        <f>_xlfn.XLOOKUP(C4,Departments!$A$2:$A$6,Departments!$B$2:$B$6)</f>
        <v>IT</v>
      </c>
    </row>
    <row r="5" spans="1:12" x14ac:dyDescent="0.3">
      <c r="A5">
        <v>4</v>
      </c>
      <c r="B5" t="s">
        <v>9</v>
      </c>
      <c r="C5">
        <v>3</v>
      </c>
      <c r="D5" t="s">
        <v>10</v>
      </c>
      <c r="E5">
        <v>55000</v>
      </c>
      <c r="F5" t="str">
        <f t="shared" si="0"/>
        <v>Normal Salary</v>
      </c>
      <c r="G5" t="str">
        <f>VLOOKUP(C5,Departments!$A$2:$C$6,2,FALSE)</f>
        <v>Finance</v>
      </c>
      <c r="H5" t="str">
        <f>_xlfn.XLOOKUP(C5,Departments!$A$2:$A$6,Departments!$B$2:$B$6)</f>
        <v>Finance</v>
      </c>
    </row>
    <row r="6" spans="1:12" x14ac:dyDescent="0.3">
      <c r="A6">
        <v>5</v>
      </c>
      <c r="B6" t="s">
        <v>11</v>
      </c>
      <c r="C6">
        <v>4</v>
      </c>
      <c r="D6" t="s">
        <v>12</v>
      </c>
      <c r="E6">
        <v>40000</v>
      </c>
      <c r="F6" t="str">
        <f t="shared" si="0"/>
        <v>Normal Salary</v>
      </c>
      <c r="G6" t="str">
        <f>VLOOKUP(C6,Departments!$A$2:$C$6,2,FALSE)</f>
        <v>Sales</v>
      </c>
      <c r="H6" t="str">
        <f>_xlfn.XLOOKUP(C6,Departments!$A$2:$A$6,Departments!$B$2:$B$6)</f>
        <v>Sales</v>
      </c>
    </row>
    <row r="7" spans="1:12" x14ac:dyDescent="0.3">
      <c r="A7">
        <v>6</v>
      </c>
      <c r="B7" t="s">
        <v>13</v>
      </c>
      <c r="C7">
        <v>1</v>
      </c>
      <c r="D7" t="s">
        <v>5</v>
      </c>
      <c r="E7">
        <v>65000</v>
      </c>
      <c r="F7" t="str">
        <f t="shared" si="0"/>
        <v>High Salary</v>
      </c>
      <c r="G7" t="str">
        <f>VLOOKUP(C7,Departments!$A$2:$C$6,2,FALSE)</f>
        <v>IT</v>
      </c>
      <c r="H7" t="str">
        <f>_xlfn.XLOOKUP(C7,Departments!$A$2:$A$6,Departments!$B$2:$B$6)</f>
        <v>IT</v>
      </c>
    </row>
    <row r="8" spans="1:12" x14ac:dyDescent="0.3">
      <c r="A8">
        <v>7</v>
      </c>
      <c r="B8" t="s">
        <v>14</v>
      </c>
      <c r="C8">
        <v>4</v>
      </c>
      <c r="D8" t="s">
        <v>12</v>
      </c>
      <c r="E8">
        <v>50000</v>
      </c>
      <c r="F8" t="str">
        <f t="shared" si="0"/>
        <v>Normal Salary</v>
      </c>
      <c r="G8" t="str">
        <f>VLOOKUP(C8,Departments!$A$2:$C$6,2,FALSE)</f>
        <v>Sales</v>
      </c>
      <c r="H8" t="str">
        <f>_xlfn.XLOOKUP(C8,Departments!$A$2:$A$6,Departments!$B$2:$B$6)</f>
        <v>Sales</v>
      </c>
    </row>
    <row r="9" spans="1:12" x14ac:dyDescent="0.3">
      <c r="A9">
        <v>8</v>
      </c>
      <c r="B9" t="s">
        <v>15</v>
      </c>
      <c r="C9">
        <v>2</v>
      </c>
      <c r="D9" t="s">
        <v>7</v>
      </c>
      <c r="E9">
        <v>48000</v>
      </c>
      <c r="F9" t="str">
        <f t="shared" si="0"/>
        <v>Normal Salary</v>
      </c>
      <c r="G9" t="str">
        <f>VLOOKUP(C9,Departments!$A$2:$C$6,2,FALSE)</f>
        <v>HR</v>
      </c>
      <c r="H9" t="str">
        <f>_xlfn.XLOOKUP(C9,Departments!$A$2:$A$6,Departments!$B$2:$B$6)</f>
        <v>HR</v>
      </c>
    </row>
    <row r="10" spans="1:12" x14ac:dyDescent="0.3">
      <c r="A10">
        <v>9</v>
      </c>
      <c r="B10" t="s">
        <v>16</v>
      </c>
      <c r="C10">
        <v>3</v>
      </c>
      <c r="D10" t="s">
        <v>10</v>
      </c>
      <c r="E10">
        <v>70000</v>
      </c>
      <c r="F10" t="str">
        <f t="shared" si="0"/>
        <v>High Salary</v>
      </c>
      <c r="G10" t="str">
        <f>VLOOKUP(C10,Departments!$A$2:$C$6,2,FALSE)</f>
        <v>Finance</v>
      </c>
      <c r="H10" t="str">
        <f>_xlfn.XLOOKUP(C10,Departments!$A$2:$A$6,Departments!$B$2:$B$6)</f>
        <v>Finance</v>
      </c>
    </row>
    <row r="11" spans="1:12" x14ac:dyDescent="0.3">
      <c r="A11">
        <v>10</v>
      </c>
      <c r="B11" t="s">
        <v>17</v>
      </c>
      <c r="C11">
        <v>1</v>
      </c>
      <c r="D11" t="s">
        <v>5</v>
      </c>
      <c r="E11">
        <v>80000</v>
      </c>
      <c r="F11" t="str">
        <f t="shared" si="0"/>
        <v>High Salary</v>
      </c>
      <c r="G11" t="str">
        <f>VLOOKUP(C11,Departments!$A$2:$C$6,2,FALSE)</f>
        <v>IT</v>
      </c>
      <c r="H11" t="str">
        <f>_xlfn.XLOOKUP(C11,Departments!$A$2:$A$6,Departments!$B$2:$B$6)</f>
        <v>IT</v>
      </c>
    </row>
    <row r="12" spans="1:12" x14ac:dyDescent="0.3">
      <c r="K12" t="s">
        <v>19</v>
      </c>
      <c r="L12" t="s">
        <v>20</v>
      </c>
    </row>
    <row r="13" spans="1:12" x14ac:dyDescent="0.3">
      <c r="K13">
        <f>COUNTIF(D2:D11,"IT")</f>
        <v>4</v>
      </c>
      <c r="L13">
        <f>SUMIF(D2:D11,"IT",E2:E11)</f>
        <v>280000</v>
      </c>
    </row>
  </sheetData>
  <conditionalFormatting sqref="E2:E11">
    <cfRule type="cellIs" dxfId="0" priority="1" operator="greaterThan">
      <formula>60000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C4D3-A300-4615-96BD-03999361B57D}">
  <dimension ref="A1:C6"/>
  <sheetViews>
    <sheetView workbookViewId="0">
      <selection activeCell="G10" sqref="G10"/>
    </sheetView>
  </sheetViews>
  <sheetFormatPr defaultRowHeight="14.4" x14ac:dyDescent="0.3"/>
  <cols>
    <col min="1" max="1" width="15.6640625" bestFit="1" customWidth="1"/>
    <col min="2" max="2" width="13.109375" bestFit="1" customWidth="1"/>
    <col min="3" max="3" width="10.44140625" bestFit="1" customWidth="1"/>
  </cols>
  <sheetData>
    <row r="1" spans="1:3" x14ac:dyDescent="0.3">
      <c r="A1" t="s">
        <v>21</v>
      </c>
      <c r="B1" t="s">
        <v>22</v>
      </c>
      <c r="C1" t="s">
        <v>23</v>
      </c>
    </row>
    <row r="2" spans="1:3" x14ac:dyDescent="0.3">
      <c r="A2">
        <v>1</v>
      </c>
      <c r="B2" s="1" t="s">
        <v>5</v>
      </c>
      <c r="C2" s="1" t="s">
        <v>24</v>
      </c>
    </row>
    <row r="3" spans="1:3" x14ac:dyDescent="0.3">
      <c r="A3">
        <v>2</v>
      </c>
      <c r="B3" s="1" t="s">
        <v>7</v>
      </c>
      <c r="C3" s="1" t="s">
        <v>25</v>
      </c>
    </row>
    <row r="4" spans="1:3" x14ac:dyDescent="0.3">
      <c r="A4">
        <v>3</v>
      </c>
      <c r="B4" s="1" t="s">
        <v>10</v>
      </c>
      <c r="C4" s="1" t="s">
        <v>26</v>
      </c>
    </row>
    <row r="5" spans="1:3" x14ac:dyDescent="0.3">
      <c r="A5">
        <v>4</v>
      </c>
      <c r="B5" s="1" t="s">
        <v>12</v>
      </c>
      <c r="C5" s="1" t="s">
        <v>27</v>
      </c>
    </row>
    <row r="6" spans="1:3" x14ac:dyDescent="0.3">
      <c r="A6">
        <v>5</v>
      </c>
      <c r="B6" s="1" t="s">
        <v>28</v>
      </c>
      <c r="C6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A00B844C-41F5-4EA5-964B-230F25DDF8F1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 TEJASWI LAKSHMI PRIYA DURGA</dc:creator>
  <cp:lastModifiedBy>SAGA TEJASWI LAKSHMI PRIYA DURGA</cp:lastModifiedBy>
  <dcterms:created xsi:type="dcterms:W3CDTF">2026-10-01T09:18:07Z</dcterms:created>
  <dcterms:modified xsi:type="dcterms:W3CDTF">2026-10-01T10:03:43Z</dcterms:modified>
</cp:coreProperties>
</file>