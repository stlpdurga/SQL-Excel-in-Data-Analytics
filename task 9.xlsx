
<file path=[Content_Types].xml><?xml version="1.0" encoding="utf-8"?>
<Types xmlns="http://schemas.openxmlformats.org/package/2006/content-types">
  <Default Extension="data" ContentType="application/vnd.openxmlformats-officedocument.model+data"/>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purl.oclc.org/ooxml/officeDocument/relationships/metadata/thumbnail" Target="docProps/thumbnail.emf"/><Relationship Id="rId1" Type="http://purl.oclc.org/ooxml/officeDocument/relationships/officeDocument" Target="xl/workbook.xml"/><Relationship Id="rId4" Type="http://purl.oclc.org/ooxml/officeDocument/relationships/extendedProperties" Target="docProps/app.xml"/></Relationships>
</file>

<file path=xl/workbook.xml><?xml version="1.0" encoding="utf-8"?>
<workbook xmlns="http://purl.oclc.org/ooxml/spreadsheetml/main" xmlns:r="http://purl.oclc.org/ooxml/officeDocument/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conformance="strict">
  <fileVersion appName="xl" lastEdited="7" lowestEdited="7" rupBuild="30430"/>
  <workbookPr dateCompatibility="0" defaultThemeVersion="202300"/>
  <mc:AlternateContent xmlns:mc="http://schemas.openxmlformats.org/markup-compatibility/2006">
    <mc:Choice Requires="x15">
      <x15ac:absPath xmlns:x15ac="http://schemas.microsoft.com/office/spreadsheetml/2010/11/ac" url="C:\InternNova 3\"/>
    </mc:Choice>
  </mc:AlternateContent>
  <xr:revisionPtr revIDLastSave="0" documentId="13_ncr:9_{7C1919D9-A7B1-44C5-9F6B-1351ED1F94AC}" xr6:coauthVersionLast="47" xr6:coauthVersionMax="47" xr10:uidLastSave="{00000000-0000-0000-0000-000000000000}"/>
  <bookViews>
    <workbookView xWindow="-108" yWindow="492" windowWidth="23256" windowHeight="11856" activeTab="2" xr2:uid="{C872379F-CDF8-4845-9335-A93824C3F890}"/>
  </bookViews>
  <sheets>
    <sheet name="Employees" sheetId="1" r:id="rId1"/>
    <sheet name="Departments" sheetId="5" r:id="rId2"/>
    <sheet name="Pivot Table" sheetId="9" r:id="rId3"/>
  </sheets>
  <definedNames>
    <definedName name="_xlcn.WorksheetConnection_task8.xlsxTable11" hidden="1">Table1[]</definedName>
    <definedName name="_xlcn.WorksheetConnection_task8.xlsxTable21" hidden="1">Table2[]</definedName>
    <definedName name="ExternalData_1" localSheetId="1" hidden="1">Departments!$A$1:$C$6</definedName>
  </definedNames>
  <calcPr calcId="191029"/>
  <pivotCaches>
    <pivotCache cacheId="27" r:id="rId4"/>
  </pivotCaches>
  <extLst>
    <ext xmlns:x14="http://schemas.microsoft.com/office/spreadsheetml/2009/9/main" uri="{79F54976-1DA5-4618-B147-4CDE4B953A38}">
      <x14:workbookPr/>
    </ext>
    <ext xmlns:x15="http://schemas.microsoft.com/office/spreadsheetml/2010/11/main" uri="{FCE2AD5D-F65C-4FA6-A056-5C36A1767C68}">
      <x15:dataModel>
        <x15:modelTables>
          <x15:modelTable id="Table2" name="Table2" connection="WorksheetConnection_task 8.xlsx!Table2"/>
          <x15:modelTable id="Table1" name="Table1" connection="WorksheetConnection_task 8.xlsx!Table1"/>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purl.oclc.org/ooxml/spreadsheetml/main">
  <c r="G2" i="1" l="1"/>
  <c r="G3" i="1"/>
  <c r="G4" i="1"/>
  <c r="G5" i="1"/>
  <c r="G6" i="1"/>
  <c r="G7" i="1"/>
  <c r="G8" i="1"/>
  <c r="G9" i="1"/>
  <c r="G10" i="1"/>
  <c r="G11" i="1"/>
  <c r="H2" i="1"/>
  <c r="H3" i="1"/>
  <c r="H4" i="1"/>
  <c r="H5" i="1"/>
  <c r="H6" i="1"/>
  <c r="H7" i="1"/>
  <c r="H8" i="1"/>
  <c r="H9" i="1"/>
  <c r="H10" i="1"/>
  <c r="H11" i="1"/>
  <c r="L13" i="1"/>
  <c r="K13" i="1"/>
  <c r="F11" i="1"/>
  <c r="F10" i="1"/>
  <c r="F9" i="1"/>
  <c r="F8" i="1"/>
  <c r="F7" i="1"/>
  <c r="F6" i="1"/>
  <c r="F5" i="1"/>
  <c r="F4" i="1"/>
  <c r="F3" i="1"/>
  <c r="F2" i="1"/>
</calcChain>
</file>

<file path=xl/connections.xml><?xml version="1.0" encoding="utf-8"?>
<connections xmlns="http://purl.oclc.org/ooxml/spreadsheetml/main" xmlns:mc="http://schemas.openxmlformats.org/markup-compatibility/2006" xmlns:xr16="http://schemas.microsoft.com/office/spreadsheetml/2017/revision16" mc:Ignorable="xr16">
  <connection id="1" xr16:uid="{BCA381C0-7BC8-4044-BCC0-F2F7A0AD1A3F}" keepAlive="1" name="Query - Departments" description="Connection to the 'Departments' query in the workbook." type="5" refreshedVersion="8" background="1" saveData="1">
    <dbPr connection="Provider=Microsoft.Mashup.OleDb.1;Data Source=$Workbook$;Location=Departments;Extended Properties=&quot;&quot;" command="SELECT * FROM [Departments]"/>
  </connection>
  <connection id="2" xr16:uid="{6F0CB6AF-DF2B-4510-8E7B-9570DC16C064}"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3" xr16:uid="{02F96153-D2C4-4F04-A3BE-3767C079F6F8}" name="WorksheetConnection_task 8.xlsx!Table1" type="102" refreshedVersion="8" minRefreshableVersion="5">
    <extLst>
      <ext xmlns:x15="http://schemas.microsoft.com/office/spreadsheetml/2010/11/main" uri="{DE250136-89BD-433C-8126-D09CA5730AF9}">
        <x15:connection id="Table1">
          <x15:rangePr sourceName="_xlcn.WorksheetConnection_task8.xlsxTable11"/>
        </x15:connection>
      </ext>
    </extLst>
  </connection>
  <connection id="4" xr16:uid="{54A759D5-A744-4DBE-96AD-6478E286C843}" name="WorksheetConnection_task 8.xlsx!Table2" type="102" refreshedVersion="8" minRefreshableVersion="5">
    <extLst>
      <ext xmlns:x15="http://schemas.microsoft.com/office/spreadsheetml/2010/11/main" uri="{DE250136-89BD-433C-8126-D09CA5730AF9}">
        <x15:connection id="Table2" autoDelete="1">
          <x15:rangePr sourceName="_xlcn.WorksheetConnection_task8.xlsxTable21"/>
        </x15:connection>
      </ext>
    </extLst>
  </connection>
</connections>
</file>

<file path=xl/sharedStrings.xml><?xml version="1.0" encoding="utf-8"?>
<sst xmlns="http://purl.oclc.org/ooxml/spreadsheetml/main" count="50" uniqueCount="36">
  <si>
    <t>Employee_ID</t>
  </si>
  <si>
    <t>Employee_Name</t>
  </si>
  <si>
    <t>Department</t>
  </si>
  <si>
    <t>Salary</t>
  </si>
  <si>
    <t>Rahul</t>
  </si>
  <si>
    <t>IT</t>
  </si>
  <si>
    <t>Priya</t>
  </si>
  <si>
    <t>HR</t>
  </si>
  <si>
    <t>Arjun</t>
  </si>
  <si>
    <t>Sneha</t>
  </si>
  <si>
    <t>Finance</t>
  </si>
  <si>
    <t>Kiran</t>
  </si>
  <si>
    <t>Sales</t>
  </si>
  <si>
    <t>Anjali</t>
  </si>
  <si>
    <t>Ravi</t>
  </si>
  <si>
    <t>Divya</t>
  </si>
  <si>
    <t>Manoj</t>
  </si>
  <si>
    <t>Neha</t>
  </si>
  <si>
    <t>Salary Category</t>
  </si>
  <si>
    <t>Number Of IT Employees</t>
  </si>
  <si>
    <t>Total IT Salary</t>
  </si>
  <si>
    <t>department_id</t>
  </si>
  <si>
    <t>department</t>
  </si>
  <si>
    <t>manager</t>
  </si>
  <si>
    <t>Suresh</t>
  </si>
  <si>
    <t>Lakshmi</t>
  </si>
  <si>
    <t>Ramesh</t>
  </si>
  <si>
    <t>Anil</t>
  </si>
  <si>
    <t>Marketing</t>
  </si>
  <si>
    <t>Kavya</t>
  </si>
  <si>
    <t>Department ID</t>
  </si>
  <si>
    <t>VLOOKUP Department</t>
  </si>
  <si>
    <t>XLOOKUP Department</t>
  </si>
  <si>
    <t>Row Labels</t>
  </si>
  <si>
    <t>Grand Total</t>
  </si>
  <si>
    <t>Sum of Salary</t>
  </si>
</sst>
</file>

<file path=xl/styles.xml><?xml version="1.0" encoding="utf-8"?>
<styleSheet xmlns="http://purl.oclc.org/ooxml/spreadsheetml/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start/>
      <end/>
      <top/>
      <bottom/>
      <diagonal/>
    </border>
    <border>
      <start/>
      <end/>
      <top/>
      <bottom style="thick">
        <color theme="4"/>
      </bottom>
      <diagonal/>
    </border>
    <border>
      <start/>
      <end/>
      <top/>
      <bottom style="thick">
        <color theme="4" tint="0.499984740745262"/>
      </bottom>
      <diagonal/>
    </border>
    <border>
      <start/>
      <end/>
      <top/>
      <bottom style="medium">
        <color theme="4" tint="0.39997558519241921"/>
      </bottom>
      <diagonal/>
    </border>
    <border>
      <start style="thin">
        <color rgb="FF7F7F7F"/>
      </start>
      <end style="thin">
        <color rgb="FF7F7F7F"/>
      </end>
      <top style="thin">
        <color rgb="FF7F7F7F"/>
      </top>
      <bottom style="thin">
        <color rgb="FF7F7F7F"/>
      </bottom>
      <diagonal/>
    </border>
    <border>
      <start style="thin">
        <color rgb="FF3F3F3F"/>
      </start>
      <end style="thin">
        <color rgb="FF3F3F3F"/>
      </end>
      <top style="thin">
        <color rgb="FF3F3F3F"/>
      </top>
      <bottom style="thin">
        <color rgb="FF3F3F3F"/>
      </bottom>
      <diagonal/>
    </border>
    <border>
      <start/>
      <end/>
      <top/>
      <bottom style="double">
        <color rgb="FFFF8001"/>
      </bottom>
      <diagonal/>
    </border>
    <border>
      <start style="double">
        <color rgb="FF3F3F3F"/>
      </start>
      <end style="double">
        <color rgb="FF3F3F3F"/>
      </end>
      <top style="double">
        <color rgb="FF3F3F3F"/>
      </top>
      <bottom style="double">
        <color rgb="FF3F3F3F"/>
      </bottom>
      <diagonal/>
    </border>
    <border>
      <start style="thin">
        <color rgb="FFB2B2B2"/>
      </start>
      <end style="thin">
        <color rgb="FFB2B2B2"/>
      </end>
      <top style="thin">
        <color rgb="FFB2B2B2"/>
      </top>
      <bottom style="thin">
        <color rgb="FFB2B2B2"/>
      </bottom>
      <diagonal/>
    </border>
    <border>
      <start/>
      <end/>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
    <xf numFmtId="0" fontId="0" fillId="0" borderId="0" xfId="0"/>
    <xf numFmtId="0" fontId="0" fillId="0" borderId="0" xfId="0" applyNumberFormat="1"/>
    <xf numFmtId="0" fontId="0" fillId="0" borderId="0" xfId="0" pivotButton="1"/>
    <xf numFmtId="0" fontId="0" fillId="0" borderId="0" xfId="0" applyAlignment="1">
      <alignment horizontal="left"/>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5">
    <dxf>
      <font>
        <color rgb="FF9C0006"/>
      </font>
      <fill>
        <patternFill>
          <bgColor rgb="FFFFC7CE"/>
        </patternFill>
      </fil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purl.oclc.org/ooxml/officeDocument/relationships/sharedStrings" Target="sharedStrings.xml"/><Relationship Id="rId3" Type="http://purl.oclc.org/ooxml/officeDocument/relationships/worksheet" Target="worksheets/sheet3.xml"/><Relationship Id="rId7" Type="http://purl.oclc.org/ooxml/officeDocument/relationships/styles" Target="styles.xml"/><Relationship Id="rId2" Type="http://purl.oclc.org/ooxml/officeDocument/relationships/worksheet" Target="worksheets/sheet2.xml"/><Relationship Id="rId1" Type="http://purl.oclc.org/ooxml/officeDocument/relationships/worksheet" Target="worksheets/sheet1.xml"/><Relationship Id="rId6" Type="http://purl.oclc.org/ooxml/officeDocument/relationships/connections" Target="connections.xml"/><Relationship Id="rId11" Type="http://purl.oclc.org/ooxml/officeDocument/relationships/customXml" Target="../customXml/item1.xml"/><Relationship Id="rId5" Type="http://purl.oclc.org/ooxml/officeDocument/relationships/theme" Target="theme/theme1.xml"/><Relationship Id="rId10" Type="http://purl.oclc.org/ooxml/officeDocument/relationships/calcChain" Target="calcChain.xml"/><Relationship Id="rId4" Type="http://purl.oclc.org/ooxml/officeDocument/relationships/pivotCacheDefinition" Target="pivotCache/pivotCacheDefinition1.xml"/><Relationship Id="rId9" Type="http://schemas.openxmlformats.org/officeDocument/2006/relationships/powerPivotData" Target="model/item.data"/></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purl.oclc.org/ooxml/drawingml/chart" xmlns:a="http://purl.oclc.org/ooxml/drawingml/main" xmlns:r="http://purl.oclc.org/ooxml/officeDocument/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9.xlsx]Pivot Table!PivotTable4</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
                  <a:lumOff val="35%"/>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
                      <a:lumOff val="25%"/>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c:f>
              <c:strCache>
                <c:ptCount val="1"/>
                <c:pt idx="0">
                  <c:v>Total</c:v>
                </c:pt>
              </c:strCache>
            </c:strRef>
          </c:tx>
          <c:spPr>
            <a:solidFill>
              <a:schemeClr val="accent1"/>
            </a:solidFill>
            <a:ln>
              <a:noFill/>
            </a:ln>
            <a:effectLst/>
          </c:spPr>
          <c:invertIfNegative val="0"/>
          <c:cat>
            <c:strRef>
              <c:f>'Pivot Table'!$A$4:$A$8</c:f>
              <c:strCache>
                <c:ptCount val="4"/>
                <c:pt idx="0">
                  <c:v>Finance</c:v>
                </c:pt>
                <c:pt idx="1">
                  <c:v>HR</c:v>
                </c:pt>
                <c:pt idx="2">
                  <c:v>IT</c:v>
                </c:pt>
                <c:pt idx="3">
                  <c:v>Sales</c:v>
                </c:pt>
              </c:strCache>
            </c:strRef>
          </c:cat>
          <c:val>
            <c:numRef>
              <c:f>'Pivot Table'!$B$4:$B$8</c:f>
              <c:numCache>
                <c:formatCode>General</c:formatCode>
                <c:ptCount val="4"/>
                <c:pt idx="0">
                  <c:v>125000</c:v>
                </c:pt>
                <c:pt idx="1">
                  <c:v>93000</c:v>
                </c:pt>
                <c:pt idx="2">
                  <c:v>280000</c:v>
                </c:pt>
                <c:pt idx="3">
                  <c:v>90000</c:v>
                </c:pt>
              </c:numCache>
            </c:numRef>
          </c:val>
          <c:extLst>
            <c:ext xmlns:c16="http://schemas.microsoft.com/office/drawing/2014/chart" uri="{C3380CC4-5D6E-409C-BE32-E72D297353CC}">
              <c16:uniqueId val="{00000000-6631-4CEE-966F-A2AC09604945}"/>
            </c:ext>
          </c:extLst>
        </c:ser>
        <c:dLbls>
          <c:showLegendKey val="0"/>
          <c:showVal val="0"/>
          <c:showCatName val="0"/>
          <c:showSerName val="0"/>
          <c:showPercent val="0"/>
          <c:showBubbleSize val="0"/>
        </c:dLbls>
        <c:gapWidth val="219"/>
        <c:overlap val="-27"/>
        <c:axId val="1706000640"/>
        <c:axId val="1574496400"/>
      </c:barChart>
      <c:catAx>
        <c:axId val="1706000640"/>
        <c:scaling>
          <c:orientation val="minMax"/>
        </c:scaling>
        <c:delete val="0"/>
        <c:axPos val="b"/>
        <c:numFmt formatCode="General" sourceLinked="1"/>
        <c:majorTickMark val="none"/>
        <c:minorTickMark val="none"/>
        <c:tickLblPos val="nextTo"/>
        <c:spPr>
          <a:noFill/>
          <a:ln w="9525" cap="flat" cmpd="sng" algn="ctr">
            <a:solidFill>
              <a:schemeClr val="tx1">
                <a:lumMod val="15%"/>
                <a:lumOff val="85%"/>
              </a:schemeClr>
            </a:solidFill>
            <a:round/>
          </a:ln>
          <a:effectLst/>
        </c:spPr>
        <c:txPr>
          <a:bodyPr rot="-60000000" spcFirstLastPara="1" vertOverflow="ellipsis" vert="horz" wrap="square" anchor="ctr" anchorCtr="1"/>
          <a:lstStyle/>
          <a:p>
            <a:pPr>
              <a:defRPr sz="900" b="0" i="0" u="none" strike="noStrike" kern="1200" baseline="0%">
                <a:solidFill>
                  <a:schemeClr val="tx1">
                    <a:lumMod val="65%"/>
                    <a:lumOff val="35%"/>
                  </a:schemeClr>
                </a:solidFill>
                <a:latin typeface="+mn-lt"/>
                <a:ea typeface="+mn-ea"/>
                <a:cs typeface="+mn-cs"/>
              </a:defRPr>
            </a:pPr>
            <a:endParaRPr lang="en-US"/>
          </a:p>
        </c:txPr>
        <c:crossAx val="1574496400"/>
        <c:crosses val="autoZero"/>
        <c:auto val="1"/>
        <c:lblAlgn val="ctr"/>
        <c:lblOffset val="100"/>
        <c:noMultiLvlLbl val="0"/>
      </c:catAx>
      <c:valAx>
        <c:axId val="1574496400"/>
        <c:scaling>
          <c:orientation val="minMax"/>
        </c:scaling>
        <c:delete val="0"/>
        <c:axPos val="l"/>
        <c:majorGridlines>
          <c:spPr>
            <a:ln w="9525" cap="flat" cmpd="sng" algn="ctr">
              <a:solidFill>
                <a:schemeClr val="tx1">
                  <a:lumMod val="15%"/>
                  <a:lumOff val="85%"/>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
                    <a:lumOff val="35%"/>
                  </a:schemeClr>
                </a:solidFill>
                <a:latin typeface="+mn-lt"/>
                <a:ea typeface="+mn-ea"/>
                <a:cs typeface="+mn-cs"/>
              </a:defRPr>
            </a:pPr>
            <a:endParaRPr lang="en-US"/>
          </a:p>
        </c:txPr>
        <c:crossAx val="17060006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
                  <a:lumOff val="35%"/>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
          <a:lumOff val="85%"/>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purl.oclc.org/ooxml/drawingml/main" meth="cycle" id="10">
  <a:schemeClr val="accent1"/>
  <a:schemeClr val="accent2"/>
  <a:schemeClr val="accent3"/>
  <a:schemeClr val="accent4"/>
  <a:schemeClr val="accent5"/>
  <a:schemeClr val="accent6"/>
  <cs:variation/>
  <cs:variation>
    <a:lumMod val="60%"/>
  </cs:variation>
  <cs:variation>
    <a:lumMod val="80%"/>
    <a:lumOff val="20%"/>
  </cs:variation>
  <cs:variation>
    <a:lumMod val="80%"/>
  </cs:variation>
  <cs:variation>
    <a:lumMod val="60%"/>
    <a:lumOff val="40%"/>
  </cs:variation>
  <cs:variation>
    <a:lumMod val="50%"/>
  </cs:variation>
  <cs:variation>
    <a:lumMod val="70%"/>
    <a:lumOff val="30%"/>
  </cs:variation>
  <cs:variation>
    <a:lumMod val="70%"/>
  </cs:variation>
  <cs:variation>
    <a:lumMod val="50%"/>
    <a:lumOff val="50%"/>
  </cs:variation>
</cs:colorStyle>
</file>

<file path=xl/charts/style1.xml><?xml version="1.0" encoding="utf-8"?>
<cs:chartStyle xmlns:cs="http://schemas.microsoft.com/office/drawing/2012/chartStyle" xmlns:a="http://purl.oclc.org/ooxml/drawingml/main" id="201">
  <cs:axisTitle>
    <cs:lnRef idx="0"/>
    <cs:fillRef idx="0"/>
    <cs:effectRef idx="0"/>
    <cs:fontRef idx="minor">
      <a:schemeClr val="tx1">
        <a:lumMod val="65%"/>
        <a:lumOff val="35%"/>
      </a:schemeClr>
    </cs:fontRef>
    <cs:defRPr sz="1000" kern="1200"/>
  </cs:axisTitle>
  <cs:categoryAxis>
    <cs:lnRef idx="0"/>
    <cs:fillRef idx="0"/>
    <cs:effectRef idx="0"/>
    <cs:fontRef idx="minor">
      <a:schemeClr val="tx1">
        <a:lumMod val="65%"/>
        <a:lumOff val="35%"/>
      </a:schemeClr>
    </cs:fontRef>
    <cs:spPr>
      <a:ln w="9525" cap="flat" cmpd="sng" algn="ctr">
        <a:solidFill>
          <a:schemeClr val="tx1">
            <a:lumMod val="15%"/>
            <a:lumOff val="85%"/>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
            <a:lumOff val="85%"/>
          </a:schemeClr>
        </a:solidFill>
        <a:round/>
      </a:ln>
    </cs:spPr>
    <cs:defRPr sz="1000" kern="1200"/>
  </cs:chartArea>
  <cs:dataLabel>
    <cs:lnRef idx="0"/>
    <cs:fillRef idx="0"/>
    <cs:effectRef idx="0"/>
    <cs:fontRef idx="minor">
      <a:schemeClr val="tx1">
        <a:lumMod val="75%"/>
        <a:lumOff val="25%"/>
      </a:schemeClr>
    </cs:fontRef>
    <cs:defRPr sz="900" kern="1200"/>
  </cs:dataLabel>
  <cs:dataLabelCallout>
    <cs:lnRef idx="0"/>
    <cs:fillRef idx="0"/>
    <cs:effectRef idx="0"/>
    <cs:fontRef idx="minor">
      <a:schemeClr val="dk1">
        <a:lumMod val="65%"/>
        <a:lumOff val="35%"/>
      </a:schemeClr>
    </cs:fontRef>
    <cs:spPr>
      <a:solidFill>
        <a:schemeClr val="lt1"/>
      </a:solidFill>
      <a:ln>
        <a:solidFill>
          <a:schemeClr val="dk1">
            <a:lumMod val="25%"/>
            <a:lumOff val="75%"/>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
        <a:lumOff val="35%"/>
      </a:schemeClr>
    </cs:fontRef>
    <cs:spPr>
      <a:noFill/>
      <a:ln w="9525" cap="flat" cmpd="sng" algn="ctr">
        <a:solidFill>
          <a:schemeClr val="tx1">
            <a:lumMod val="15%"/>
            <a:lumOff val="85%"/>
          </a:schemeClr>
        </a:solidFill>
        <a:round/>
      </a:ln>
    </cs:spPr>
    <cs:defRPr sz="900" kern="1200"/>
  </cs:dataTable>
  <cs:downBar>
    <cs:lnRef idx="0"/>
    <cs:fillRef idx="0"/>
    <cs:effectRef idx="0"/>
    <cs:fontRef idx="minor">
      <a:schemeClr val="dk1"/>
    </cs:fontRef>
    <cs:spPr>
      <a:solidFill>
        <a:schemeClr val="dk1">
          <a:lumMod val="65%"/>
          <a:lumOff val="35%"/>
        </a:schemeClr>
      </a:solidFill>
      <a:ln w="9525">
        <a:solidFill>
          <a:schemeClr val="tx1">
            <a:lumMod val="65%"/>
            <a:lumOff val="35%"/>
          </a:schemeClr>
        </a:solidFill>
      </a:ln>
    </cs:spPr>
  </cs:downBar>
  <cs:dropLine>
    <cs:lnRef idx="0"/>
    <cs:fillRef idx="0"/>
    <cs:effectRef idx="0"/>
    <cs:fontRef idx="minor">
      <a:schemeClr val="tx1"/>
    </cs:fontRef>
    <cs:spPr>
      <a:ln w="9525" cap="flat" cmpd="sng" algn="ctr">
        <a:solidFill>
          <a:schemeClr val="tx1">
            <a:lumMod val="35%"/>
            <a:lumOff val="65%"/>
          </a:schemeClr>
        </a:solidFill>
        <a:round/>
      </a:ln>
    </cs:spPr>
  </cs:dropLine>
  <cs:errorBar>
    <cs:lnRef idx="0"/>
    <cs:fillRef idx="0"/>
    <cs:effectRef idx="0"/>
    <cs:fontRef idx="minor">
      <a:schemeClr val="tx1"/>
    </cs:fontRef>
    <cs:spPr>
      <a:ln w="9525" cap="flat" cmpd="sng" algn="ctr">
        <a:solidFill>
          <a:schemeClr val="tx1">
            <a:lumMod val="65%"/>
            <a:lumOff val="35%"/>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
            <a:lumOff val="85%"/>
          </a:schemeClr>
        </a:solidFill>
        <a:round/>
      </a:ln>
    </cs:spPr>
  </cs:gridlineMajor>
  <cs:gridlineMinor>
    <cs:lnRef idx="0"/>
    <cs:fillRef idx="0"/>
    <cs:effectRef idx="0"/>
    <cs:fontRef idx="minor">
      <a:schemeClr val="tx1"/>
    </cs:fontRef>
    <cs:spPr>
      <a:ln w="9525" cap="flat" cmpd="sng" algn="ctr">
        <a:solidFill>
          <a:schemeClr val="tx1">
            <a:lumMod val="5%"/>
            <a:lumOff val="95%"/>
          </a:schemeClr>
        </a:solidFill>
        <a:round/>
      </a:ln>
    </cs:spPr>
  </cs:gridlineMinor>
  <cs:hiLoLine>
    <cs:lnRef idx="0"/>
    <cs:fillRef idx="0"/>
    <cs:effectRef idx="0"/>
    <cs:fontRef idx="minor">
      <a:schemeClr val="tx1"/>
    </cs:fontRef>
    <cs:spPr>
      <a:ln w="9525" cap="flat" cmpd="sng" algn="ctr">
        <a:solidFill>
          <a:schemeClr val="tx1">
            <a:lumMod val="75%"/>
            <a:lumOff val="25%"/>
          </a:schemeClr>
        </a:solidFill>
        <a:round/>
      </a:ln>
    </cs:spPr>
  </cs:hiLoLine>
  <cs:leaderLine>
    <cs:lnRef idx="0"/>
    <cs:fillRef idx="0"/>
    <cs:effectRef idx="0"/>
    <cs:fontRef idx="minor">
      <a:schemeClr val="tx1"/>
    </cs:fontRef>
    <cs:spPr>
      <a:ln w="9525" cap="flat" cmpd="sng" algn="ctr">
        <a:solidFill>
          <a:schemeClr val="tx1">
            <a:lumMod val="35%"/>
            <a:lumOff val="65%"/>
          </a:schemeClr>
        </a:solidFill>
        <a:round/>
      </a:ln>
    </cs:spPr>
  </cs:leaderLine>
  <cs:legend>
    <cs:lnRef idx="0"/>
    <cs:fillRef idx="0"/>
    <cs:effectRef idx="0"/>
    <cs:fontRef idx="minor">
      <a:schemeClr val="tx1">
        <a:lumMod val="65%"/>
        <a:lumOff val="35%"/>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
        <a:lumOff val="35%"/>
      </a:schemeClr>
    </cs:fontRef>
    <cs:defRPr sz="900" kern="1200"/>
  </cs:seriesAxis>
  <cs:seriesLine>
    <cs:lnRef idx="0"/>
    <cs:fillRef idx="0"/>
    <cs:effectRef idx="0"/>
    <cs:fontRef idx="minor">
      <a:schemeClr val="tx1"/>
    </cs:fontRef>
    <cs:spPr>
      <a:ln w="9525" cap="flat" cmpd="sng" algn="ctr">
        <a:solidFill>
          <a:schemeClr val="tx1">
            <a:lumMod val="35%"/>
            <a:lumOff val="65%"/>
          </a:schemeClr>
        </a:solidFill>
        <a:round/>
      </a:ln>
    </cs:spPr>
  </cs:seriesLine>
  <cs:title>
    <cs:lnRef idx="0"/>
    <cs:fillRef idx="0"/>
    <cs:effectRef idx="0"/>
    <cs:fontRef idx="minor">
      <a:schemeClr val="tx1">
        <a:lumMod val="65%"/>
        <a:lumOff val="35%"/>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
        <a:lumOff val="35%"/>
      </a:schemeClr>
    </cs:fontRef>
    <cs:defRPr sz="900" kern="1200"/>
  </cs:trendlineLabel>
  <cs:upBar>
    <cs:lnRef idx="0"/>
    <cs:fillRef idx="0"/>
    <cs:effectRef idx="0"/>
    <cs:fontRef idx="minor">
      <a:schemeClr val="dk1"/>
    </cs:fontRef>
    <cs:spPr>
      <a:solidFill>
        <a:schemeClr val="lt1"/>
      </a:solidFill>
      <a:ln w="9525">
        <a:solidFill>
          <a:schemeClr val="tx1">
            <a:lumMod val="15%"/>
            <a:lumOff val="85%"/>
          </a:schemeClr>
        </a:solidFill>
      </a:ln>
    </cs:spPr>
  </cs:upBar>
  <cs:valueAxis>
    <cs:lnRef idx="0"/>
    <cs:fillRef idx="0"/>
    <cs:effectRef idx="0"/>
    <cs:fontRef idx="minor">
      <a:schemeClr val="tx1">
        <a:lumMod val="65%"/>
        <a:lumOff val="35%"/>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purl.oclc.org/ooxml/officeDocument/relationships/chart" Target="../charts/chart1.xml"/></Relationships>
</file>

<file path=xl/drawings/drawing1.xml><?xml version="1.0" encoding="utf-8"?>
<xdr:wsDr xmlns:xdr="http://purl.oclc.org/ooxml/drawingml/spreadsheetDrawing" xmlns:a="http://purl.oclc.org/ooxml/drawingml/main">
  <xdr:twoCellAnchor>
    <xdr:from>
      <xdr:col>4</xdr:col>
      <xdr:colOff>220980</xdr:colOff>
      <xdr:row>6</xdr:row>
      <xdr:rowOff>34290</xdr:rowOff>
    </xdr:from>
    <xdr:to>
      <xdr:col>11</xdr:col>
      <xdr:colOff>525780</xdr:colOff>
      <xdr:row>21</xdr:row>
      <xdr:rowOff>34290</xdr:rowOff>
    </xdr:to>
    <xdr:graphicFrame macro="">
      <xdr:nvGraphicFramePr>
        <xdr:cNvPr id="2" name="Chart 1">
          <a:extLst>
            <a:ext uri="{FF2B5EF4-FFF2-40B4-BE49-F238E27FC236}">
              <a16:creationId xmlns:a16="http://schemas.microsoft.com/office/drawing/2014/main" id="{E1797B3B-882B-1CB8-1FE4-1EE043776FE6}"/>
            </a:ext>
          </a:extLst>
        </xdr:cNvPr>
        <xdr:cNvGraphicFramePr/>
      </xdr:nvGraphicFramePr>
      <xdr:xfrm>
        <a:off x="0" y="0"/>
        <a:ext cx="0" cy="0"/>
      </xdr:xfrm>
      <a:graphic>
        <a:graphicData uri="http://purl.oclc.org/ooxml/drawingml/chart">
          <c:chart xmlns:c="http://purl.oclc.org/ooxml/drawingml/chart" xmlns:r="http://purl.oclc.org/ooxml/officeDocument/relationships" r:id="rId1"/>
        </a:graphicData>
      </a:graphic>
    </xdr:graphicFrame>
    <xdr:clientData/>
  </xdr:twoCellAnchor>
  <xdr:twoCellAnchor>
    <xdr:from>
      <xdr:col>4</xdr:col>
      <xdr:colOff>335280</xdr:colOff>
      <xdr:row>3</xdr:row>
      <xdr:rowOff>91440</xdr:rowOff>
    </xdr:from>
    <xdr:to>
      <xdr:col>11</xdr:col>
      <xdr:colOff>472440</xdr:colOff>
      <xdr:row>6</xdr:row>
      <xdr:rowOff>15240</xdr:rowOff>
    </xdr:to>
    <xdr:sp macro="" textlink="">
      <xdr:nvSpPr>
        <xdr:cNvPr id="4" name="TextBox 3">
          <a:extLst>
            <a:ext uri="{FF2B5EF4-FFF2-40B4-BE49-F238E27FC236}">
              <a16:creationId xmlns:a16="http://schemas.microsoft.com/office/drawing/2014/main" id="{742A1075-68F5-1973-9ACA-BC6F29A9C8F5}"/>
            </a:ext>
          </a:extLst>
        </xdr:cNvPr>
        <xdr:cNvSpPr txBox="1"/>
      </xdr:nvSpPr>
      <xdr:spPr>
        <a:xfrm>
          <a:off x="3246120" y="640080"/>
          <a:ext cx="4404360" cy="472440"/>
        </a:xfrm>
        <a:prstGeom prst="rect">
          <a:avLst/>
        </a:prstGeom>
        <a:solidFill>
          <a:schemeClr val="lt1"/>
        </a:solidFill>
        <a:ln w="9525" cmpd="sng">
          <a:solidFill>
            <a:schemeClr val="lt1">
              <a:shade val="5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400" b="1">
              <a:solidFill>
                <a:schemeClr val="accent5">
                  <a:lumMod val="75%"/>
                </a:schemeClr>
              </a:solidFill>
              <a:latin typeface="Times New Roman" panose="02020603050405020304" pitchFamily="18" charset="0"/>
              <a:cs typeface="Times New Roman" panose="02020603050405020304" pitchFamily="18" charset="0"/>
            </a:rPr>
            <a:t>Total Salary by Department</a:t>
          </a:r>
        </a:p>
      </xdr:txBody>
    </xdr:sp>
    <xdr:clientData/>
  </xdr:twoCellAnchor>
  <xdr:twoCellAnchor>
    <xdr:from>
      <xdr:col>12</xdr:col>
      <xdr:colOff>373380</xdr:colOff>
      <xdr:row>9</xdr:row>
      <xdr:rowOff>53340</xdr:rowOff>
    </xdr:from>
    <xdr:to>
      <xdr:col>20</xdr:col>
      <xdr:colOff>114300</xdr:colOff>
      <xdr:row>18</xdr:row>
      <xdr:rowOff>38100</xdr:rowOff>
    </xdr:to>
    <xdr:sp macro="" textlink="">
      <xdr:nvSpPr>
        <xdr:cNvPr id="5" name="TextBox 4">
          <a:extLst>
            <a:ext uri="{FF2B5EF4-FFF2-40B4-BE49-F238E27FC236}">
              <a16:creationId xmlns:a16="http://schemas.microsoft.com/office/drawing/2014/main" id="{DD70CECC-3CCE-0D17-5FE5-9C2BB9836510}"/>
            </a:ext>
          </a:extLst>
        </xdr:cNvPr>
        <xdr:cNvSpPr txBox="1"/>
      </xdr:nvSpPr>
      <xdr:spPr>
        <a:xfrm>
          <a:off x="8161020" y="1699260"/>
          <a:ext cx="4617720" cy="1630680"/>
        </a:xfrm>
        <a:prstGeom prst="rect">
          <a:avLst/>
        </a:prstGeom>
        <a:solidFill>
          <a:schemeClr val="lt1"/>
        </a:solidFill>
        <a:ln w="9525" cmpd="sng">
          <a:solidFill>
            <a:schemeClr val="lt1">
              <a:shade val="5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solidFill>
                <a:schemeClr val="tx2">
                  <a:lumMod val="75%"/>
                  <a:lumOff val="25%"/>
                </a:schemeClr>
              </a:solidFill>
              <a:latin typeface="Times New Roman" panose="02020603050405020304" pitchFamily="18" charset="0"/>
              <a:cs typeface="Times New Roman" panose="02020603050405020304" pitchFamily="18" charset="0"/>
            </a:rPr>
            <a:t>Explanation</a:t>
          </a:r>
        </a:p>
        <a:p>
          <a:r>
            <a:rPr lang="en-IN" sz="1600" b="0">
              <a:latin typeface="Times New Roman" panose="02020603050405020304" pitchFamily="18" charset="0"/>
              <a:cs typeface="Times New Roman" panose="02020603050405020304" pitchFamily="18" charset="0"/>
            </a:rPr>
            <a:t>The Total Salary by Department chart shows the total salary paid to employees in each department. It helps compare salary expenses across departments and makes it easy to identify which departments have higher or lower total salary costs.</a:t>
          </a:r>
        </a:p>
      </xdr:txBody>
    </xdr:sp>
    <xdr:clientData/>
  </xdr:twoCellAnchor>
</xdr:wsDr>
</file>

<file path=xl/pivotCache/pivotCacheDefinition1.xml><?xml version="1.0" encoding="utf-8"?>
<pivotCacheDefinition xmlns="http://purl.oclc.org/ooxml/spreadsheetml/main" xmlns:r="http://purl.oclc.org/ooxml/officeDocument/relationships" xmlns:mc="http://schemas.openxmlformats.org/markup-compatibility/2006" xmlns:xr="http://schemas.microsoft.com/office/spreadsheetml/2014/revision" mc:Ignorable="xr" saveData="0" refreshedBy="SAGA TEJASWI LAKSHMI PRIYA DURGA" refreshedDateIso="2026-10-01T15:36:09.4600002374500050" backgroundQuery="1" createdVersion="8" refreshedVersion="8" minRefreshableVersion="3" recordCount="0" supportSubquery="1" supportAdvancedDrill="1" xr:uid="{F8AA95D2-2864-4F66-8D29-0A506289AA3A}">
  <cacheSource type="external" connectionId="2"/>
  <cacheFields count="2">
    <cacheField name="[Table1].[Department].[Department]" caption="Department" numFmtId="0" hierarchy="3" level="1">
      <sharedItems count="4">
        <s v="Finance"/>
        <s v="HR"/>
        <s v="IT"/>
        <s v="Sales"/>
      </sharedItems>
    </cacheField>
    <cacheField name="[Measures].[Sum of Salary]" caption="Sum of Salary" numFmtId="0" hierarchy="12" level="32767"/>
  </cacheFields>
  <cacheHierarchies count="13">
    <cacheHierarchy uniqueName="[Table1].[Employee_ID]" caption="Employee_ID" attribute="1" defaultMemberUniqueName="[Table1].[Employee_ID].[All]" allUniqueName="[Table1].[Employee_ID].[All]" dimensionUniqueName="[Table1]" displayFolder="" count="0" memberValueDatatype="20" unbalanced="0"/>
    <cacheHierarchy uniqueName="[Table1].[Employee_Name]" caption="Employee_Name" attribute="1" defaultMemberUniqueName="[Table1].[Employee_Name].[All]" allUniqueName="[Table1].[Employee_Name].[All]" dimensionUniqueName="[Table1]" displayFolder="" count="0" memberValueDatatype="130" unbalanced="0"/>
    <cacheHierarchy uniqueName="[Table1].[Department ID]" caption="Department ID" attribute="1" defaultMemberUniqueName="[Table1].[Department ID].[All]" allUniqueName="[Table1].[Department ID].[All]" dimensionUniqueName="[Table1]" displayFolder="" count="0" memberValueDatatype="20" unbalanced="0"/>
    <cacheHierarchy uniqueName="[Table1].[Department]" caption="Department" attribute="1" defaultMemberUniqueName="[Table1].[Department].[All]" allUniqueName="[Table1].[Department].[All]" dimensionUniqueName="[Table1]" displayFolder="" count="2" memberValueDatatype="130" unbalanced="0">
      <fieldsUsage count="2">
        <fieldUsage x="-1"/>
        <fieldUsage x="0"/>
      </fieldsUsage>
    </cacheHierarchy>
    <cacheHierarchy uniqueName="[Table1].[Salary]" caption="Salary" attribute="1" defaultMemberUniqueName="[Table1].[Salary].[All]" allUniqueName="[Table1].[Salary].[All]" dimensionUniqueName="[Table1]" displayFolder="" count="0" memberValueDatatype="20" unbalanced="0"/>
    <cacheHierarchy uniqueName="[Table2].[Salary Category]" caption="Salary Category" attribute="1" defaultMemberUniqueName="[Table2].[Salary Category].[All]" allUniqueName="[Table2].[Salary Category].[All]" dimensionUniqueName="[Table2]" displayFolder="" count="0" memberValueDatatype="130" unbalanced="0"/>
    <cacheHierarchy uniqueName="[Table2].[VLOOKUP Department]" caption="VLOOKUP Department" attribute="1" defaultMemberUniqueName="[Table2].[VLOOKUP Department].[All]" allUniqueName="[Table2].[VLOOKUP Department].[All]" dimensionUniqueName="[Table2]" displayFolder="" count="0" memberValueDatatype="130" unbalanced="0"/>
    <cacheHierarchy uniqueName="[Table2].[XLOOKUP Department]" caption="XLOOKUP Department" attribute="1" defaultMemberUniqueName="[Table2].[XLOOKUP Department].[All]" allUniqueName="[Table2].[XLOOKUP Department].[All]" dimensionUniqueName="[Table2]" displayFolder="" count="0" memberValueDatatype="130" unbalanced="0"/>
    <cacheHierarchy uniqueName="[Measures].[__XL_Count Table2]" caption="__XL_Count Table2" measure="1" displayFolder="" measureGroup="Table2"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Department]" caption="Count of Department" measure="1" displayFolder="" measureGroup="Table1" count="0" hidden="1">
      <extLst>
        <ext xmlns:x15="http://schemas.microsoft.com/office/spreadsheetml/2010/11/main" uri="{B97F6D7D-B522-45F9-BDA1-12C45D357490}">
          <x15:cacheHierarchy aggregatedColumn="3"/>
        </ext>
      </extLst>
    </cacheHierarchy>
    <cacheHierarchy uniqueName="[Measures].[Sum of Salary]" caption="Sum of Salary" measure="1" displayFolder="" measureGroup="Table1" count="0" oneField="1" hidden="1">
      <fieldsUsage count="1">
        <fieldUsage x="1"/>
      </fieldsUsage>
      <extLst>
        <ext xmlns:x15="http://schemas.microsoft.com/office/spreadsheetml/2010/11/main" uri="{B97F6D7D-B522-45F9-BDA1-12C45D357490}">
          <x15:cacheHierarchy aggregatedColumn="4"/>
        </ext>
      </extLst>
    </cacheHierarchy>
  </cacheHierarchies>
  <kpis count="0"/>
  <dimensions count="3">
    <dimension measure="1" name="Measures" uniqueName="[Measures]" caption="Measures"/>
    <dimension name="Table1" uniqueName="[Table1]" caption="Table1"/>
    <dimension name="Table2" uniqueName="[Table2]" caption="Table2"/>
  </dimensions>
  <measureGroups count="2">
    <measureGroup name="Table1" caption="Table1"/>
    <measureGroup name="Table2" caption="Table2"/>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purl.oclc.org/ooxml/officeDocument/relationships/pivotCacheDefinition" Target="../pivotCache/pivotCacheDefinition1.xml"/></Relationships>
</file>

<file path=xl/pivotTables/pivotTable1.xml><?xml version="1.0" encoding="utf-8"?>
<pivotTableDefinition xmlns="http://purl.oclc.org/ooxml/spreadsheetml/main" xmlns:mc="http://schemas.openxmlformats.org/markup-compatibility/2006" xmlns:xr="http://schemas.microsoft.com/office/spreadsheetml/2014/revision" mc:Ignorable="xr" xr:uid="{CA99DE6B-5964-464A-B2C8-EC18D2552899}" name="PivotTable4" cacheId="2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B8" firstHeaderRow="1" firstDataRow="1" firstDataCol="1"/>
  <pivotFields count="2">
    <pivotField axis="axisRow" allDrilled="1" subtotalTop="0" showAll="0" dataSourceSort="1" defaultSubtotal="0" defaultAttributeDrillState="1">
      <items count="4">
        <item x="0"/>
        <item x="1"/>
        <item x="2"/>
        <item x="3"/>
      </items>
    </pivotField>
    <pivotField dataField="1" subtotalTop="0" showAll="0" defaultSubtotal="0"/>
  </pivotFields>
  <rowFields count="1">
    <field x="0"/>
  </rowFields>
  <rowItems count="5">
    <i>
      <x/>
    </i>
    <i>
      <x v="1"/>
    </i>
    <i>
      <x v="2"/>
    </i>
    <i>
      <x v="3"/>
    </i>
    <i t="grand">
      <x/>
    </i>
  </rowItems>
  <colItems count="1">
    <i/>
  </colItems>
  <dataFields count="1">
    <dataField name="Sum of Salary" fld="1" baseField="0" baseItem="0"/>
  </dataFields>
  <chartFormats count="1">
    <chartFormat chart="1" format="0" series="1">
      <pivotArea type="data" outline="0" fieldPosition="0">
        <references count="1">
          <reference field="4294967294" count="1" selected="0">
            <x v="0"/>
          </reference>
        </references>
      </pivotArea>
    </chartFormat>
  </chartFormats>
  <pivotHierarchies count="13">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2]"/>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purl.oclc.org/ooxml/spreadsheetml/main" xmlns:mc="http://schemas.openxmlformats.org/markup-compatibility/2006" xmlns:xr16="http://schemas.microsoft.com/office/spreadsheetml/2017/revision16" mc:Ignorable="xr16" name="ExternalData_1" connectionId="1" xr16:uid="{80B90DED-A111-44CA-B791-F9BE8C71FF27}" autoFormatId="16" applyNumberFormats="0" applyBorderFormats="0" applyFontFormats="0" applyPatternFormats="0" applyAlignmentFormats="0" applyWidthHeightFormats="0">
  <queryTableRefresh nextId="4">
    <queryTableFields count="3">
      <queryTableField id="1" name="department_id" tableColumnId="1"/>
      <queryTableField id="2" name="department" tableColumnId="2"/>
      <queryTableField id="3" name="manager" tableColumnId="3"/>
    </queryTableFields>
  </queryTableRefresh>
</queryTable>
</file>

<file path=xl/tables/_rels/table3.xml.rels><?xml version="1.0" encoding="UTF-8" standalone="yes"?>
<Relationships xmlns="http://schemas.openxmlformats.org/package/2006/relationships"><Relationship Id="rId1" Type="http://purl.oclc.org/ooxml/officeDocument/relationships/queryTable" Target="../queryTables/queryTable1.xml"/></Relationships>
</file>

<file path=xl/tables/table1.xml><?xml version="1.0" encoding="utf-8"?>
<table xmlns="http://purl.oclc.org/ooxml/spreadsheetml/main" xmlns:mc="http://schemas.openxmlformats.org/markup-compatibility/2006" xmlns:xr="http://schemas.microsoft.com/office/spreadsheetml/2014/revision" xmlns:xr3="http://schemas.microsoft.com/office/spreadsheetml/2016/revision3" mc:Ignorable="xr xr3" id="1" xr:uid="{F9EE9A1B-62FF-4769-8A1D-D8264D7EF2F2}" name="Table1" displayName="Table1" ref="A1:E11" totalsRowShown="0">
  <autoFilter ref="A1:E11" xr:uid="{F9EE9A1B-62FF-4769-8A1D-D8264D7EF2F2}"/>
  <sortState xmlns:xlrd2="http://schemas.microsoft.com/office/spreadsheetml/2017/richdata2" ref="A2:E11">
    <sortCondition ref="A1:A11"/>
  </sortState>
  <tableColumns count="5">
    <tableColumn id="1" xr3:uid="{C2867618-C0EB-4702-8F3A-F68DCE0B01DD}" name="Employee_ID"/>
    <tableColumn id="2" xr3:uid="{A6FC8406-E839-43E2-8EEC-5601DA354059}" name="Employee_Name"/>
    <tableColumn id="7" xr3:uid="{A1710B15-AD0F-4EA3-BEAC-6F4D682F57B2}" name="Department ID"/>
    <tableColumn id="3" xr3:uid="{BE2F7213-0AC5-4B8F-9A74-385C002C65F7}" name="Department"/>
    <tableColumn id="4" xr3:uid="{D7C724E5-D1DC-4D40-A2BE-0C6D7E632CBB}" name="Salary"/>
  </tableColumns>
  <tableStyleInfo name="TableStyleMedium2" showFirstColumn="0" showLastColumn="0" showRowStripes="1" showColumnStripes="0"/>
</table>
</file>

<file path=xl/tables/table2.xml><?xml version="1.0" encoding="utf-8"?>
<table xmlns="http://purl.oclc.org/ooxml/spreadsheetml/main" xmlns:mc="http://schemas.openxmlformats.org/markup-compatibility/2006" xmlns:xr="http://schemas.microsoft.com/office/spreadsheetml/2014/revision" xmlns:xr3="http://schemas.microsoft.com/office/spreadsheetml/2016/revision3" mc:Ignorable="xr xr3" id="2" xr:uid="{D86D2DD3-C9C1-4B6A-BDBA-032FFD2FF731}" name="Table2" displayName="Table2" ref="F1:H11" totalsRowShown="0">
  <autoFilter ref="F1:H11" xr:uid="{D86D2DD3-C9C1-4B6A-BDBA-032FFD2FF731}"/>
  <tableColumns count="3">
    <tableColumn id="1" xr3:uid="{20ED21D3-FC24-4531-AC43-7F33E5B313AD}" name="Salary Category">
      <calculatedColumnFormula>IF(E2&gt;60000,"High Salary","Normal Salary")</calculatedColumnFormula>
    </tableColumn>
    <tableColumn id="2" xr3:uid="{1B01C5F4-5769-499E-B224-0A0394ED937B}" name="VLOOKUP Department" dataDxfId="2">
      <calculatedColumnFormula>VLOOKUP(C2,Departments!$A$2:$C$6,2,FALSE)</calculatedColumnFormula>
    </tableColumn>
    <tableColumn id="3" xr3:uid="{2185928D-9045-46CD-9D3A-7FB9CA59F521}" name="XLOOKUP Department" dataDxfId="1">
      <calculatedColumnFormula>_xlfn.XLOOKUP(C2,Departments!$A$2:$A$6,Departments!$B$2:$B$6)</calculatedColumnFormula>
    </tableColumn>
  </tableColumns>
  <tableStyleInfo name="TableStyleMedium2" showFirstColumn="0" showLastColumn="0" showRowStripes="1" showColumnStripes="0"/>
</table>
</file>

<file path=xl/tables/table3.xml><?xml version="1.0" encoding="utf-8"?>
<table xmlns="http://purl.oclc.org/ooxml/spreadsheetml/main" xmlns:mc="http://schemas.openxmlformats.org/markup-compatibility/2006" xmlns:xr="http://schemas.microsoft.com/office/spreadsheetml/2014/revision" xmlns:xr3="http://schemas.microsoft.com/office/spreadsheetml/2016/revision3" mc:Ignorable="xr xr3" id="4" xr:uid="{82447093-062E-4EF4-BB89-ADD12C2F3310}" name="Departments" displayName="Departments" ref="A1:C6" tableType="queryTable" totalsRowShown="0">
  <autoFilter ref="A1:C6" xr:uid="{82447093-062E-4EF4-BB89-ADD12C2F3310}"/>
  <tableColumns count="3">
    <tableColumn id="1" xr3:uid="{6319F235-3951-49B5-BBD0-86F7127A171B}" uniqueName="1" name="department_id" queryTableFieldId="1"/>
    <tableColumn id="2" xr3:uid="{124E26CD-7CE7-43A3-A91F-7D13DDF742F9}" uniqueName="2" name="department" queryTableFieldId="2" dataDxfId="4"/>
    <tableColumn id="3" xr3:uid="{DCC89B15-E8AC-497B-B695-BAEE9E83B2C1}" uniqueName="3" name="manager" queryTableFieldId="3" dataDxfId="3"/>
  </tableColumns>
  <tableStyleInfo name="TableStyleMedium9" showFirstColumn="0" showLastColumn="0" showRowStripes="1" showColumnStripes="0"/>
</table>
</file>

<file path=xl/theme/theme1.xml><?xml version="1.0" encoding="utf-8"?>
<a:theme xmlns:a="http://purl.oclc.org/ooxml/drawingml/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
                <a:satMod val="105%"/>
                <a:tint val="67%"/>
              </a:schemeClr>
            </a:gs>
            <a:gs pos="50%">
              <a:schemeClr val="phClr">
                <a:lumMod val="105%"/>
                <a:satMod val="103%"/>
                <a:tint val="73%"/>
              </a:schemeClr>
            </a:gs>
            <a:gs pos="100%">
              <a:schemeClr val="phClr">
                <a:lumMod val="105%"/>
                <a:satMod val="109%"/>
                <a:tint val="81%"/>
              </a:schemeClr>
            </a:gs>
          </a:gsLst>
          <a:lin ang="5400000" scaled="0"/>
        </a:gradFill>
        <a:gradFill rotWithShape="1">
          <a:gsLst>
            <a:gs pos="0%">
              <a:schemeClr val="phClr">
                <a:satMod val="103%"/>
                <a:lumMod val="102%"/>
                <a:tint val="94%"/>
              </a:schemeClr>
            </a:gs>
            <a:gs pos="50%">
              <a:schemeClr val="phClr">
                <a:satMod val="110%"/>
                <a:lumMod val="100%"/>
                <a:shade val="100%"/>
              </a:schemeClr>
            </a:gs>
            <a:gs pos="100%">
              <a:schemeClr val="phClr">
                <a:lumMod val="99%"/>
                <a:satMod val="120%"/>
                <a:shade val="78%"/>
              </a:schemeClr>
            </a:gs>
          </a:gsLst>
          <a:lin ang="5400000" scaled="0"/>
        </a:gradFill>
      </a:fillStyleLst>
      <a:lnStyleLst>
        <a:ln w="12700" cap="flat" cmpd="sng" algn="ctr">
          <a:solidFill>
            <a:schemeClr val="phClr"/>
          </a:solidFill>
          <a:prstDash val="solid"/>
          <a:miter lim="800%"/>
        </a:ln>
        <a:ln w="19050" cap="flat" cmpd="sng" algn="ctr">
          <a:solidFill>
            <a:schemeClr val="phClr"/>
          </a:solidFill>
          <a:prstDash val="solid"/>
          <a:miter lim="800%"/>
        </a:ln>
        <a:ln w="25400" cap="flat" cmpd="sng" algn="ctr">
          <a:solidFill>
            <a:schemeClr val="phClr"/>
          </a:solidFill>
          <a:prstDash val="solid"/>
          <a:miter lim="800%"/>
        </a:ln>
      </a:lnStyleLst>
      <a:effectStyleLst>
        <a:effectStyle>
          <a:effectLst/>
        </a:effectStyle>
        <a:effectStyle>
          <a:effectLst/>
        </a:effectStyle>
        <a:effectStyle>
          <a:effectLst>
            <a:outerShdw blurRad="57150" dist="19050" dir="5400000" algn="ctr" rotWithShape="0">
              <a:srgbClr val="000000">
                <a:alpha val="63%"/>
              </a:srgbClr>
            </a:outerShdw>
          </a:effectLst>
        </a:effectStyle>
      </a:effectStyleLst>
      <a:bgFillStyleLst>
        <a:solidFill>
          <a:schemeClr val="phClr"/>
        </a:solidFill>
        <a:solidFill>
          <a:schemeClr val="phClr">
            <a:tint val="95%"/>
            <a:satMod val="170%"/>
          </a:schemeClr>
        </a:solidFill>
        <a:gradFill rotWithShape="1">
          <a:gsLst>
            <a:gs pos="0%">
              <a:schemeClr val="phClr">
                <a:tint val="93%"/>
                <a:satMod val="150%"/>
                <a:shade val="98%"/>
                <a:lumMod val="102%"/>
              </a:schemeClr>
            </a:gs>
            <a:gs pos="50%">
              <a:schemeClr val="phClr">
                <a:tint val="98%"/>
                <a:satMod val="130%"/>
                <a:shade val="90%"/>
                <a:lumMod val="103%"/>
              </a:schemeClr>
            </a:gs>
            <a:gs pos="100%">
              <a:schemeClr val="phClr">
                <a:shade val="63%"/>
                <a:satMod val="12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purl.oclc.org/ooxml/officeDocument/relationships/table" Target="../tables/table2.xml"/><Relationship Id="rId1" Type="http://purl.oclc.org/ooxml/officeDocument/relationships/table" Target="../tables/table1.xml"/></Relationships>
</file>

<file path=xl/worksheets/_rels/sheet2.xml.rels><?xml version="1.0" encoding="UTF-8" standalone="yes"?>
<Relationships xmlns="http://schemas.openxmlformats.org/package/2006/relationships"><Relationship Id="rId1" Type="http://purl.oclc.org/ooxml/officeDocument/relationships/table" Target="../tables/table3.xml"/></Relationships>
</file>

<file path=xl/worksheets/_rels/sheet3.xml.rels><?xml version="1.0" encoding="UTF-8" standalone="yes"?>
<Relationships xmlns="http://schemas.openxmlformats.org/package/2006/relationships"><Relationship Id="rId2" Type="http://purl.oclc.org/ooxml/officeDocument/relationships/drawing" Target="../drawings/drawing1.xml"/><Relationship Id="rId1" Type="http://purl.oclc.org/ooxml/officeDocument/relationships/pivotTable" Target="../pivotTables/pivotTable1.xml"/></Relationships>
</file>

<file path=xl/worksheets/sheet1.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883E6A-A55C-4D19-B705-BDB2359F8ABC}">
  <dimension ref="A1:L13"/>
  <sheetViews>
    <sheetView workbookViewId="0">
      <selection activeCell="F7" sqref="F7"/>
    </sheetView>
  </sheetViews>
  <sheetFormatPr defaultRowHeight="14.4" x14ac:dyDescent="0.3"/>
  <cols>
    <col min="1" max="1" width="13.6640625" customWidth="1"/>
    <col min="2" max="3" width="16.88671875" customWidth="1"/>
    <col min="4" max="4" width="12.88671875" customWidth="1"/>
    <col min="6" max="6" width="15.77734375" customWidth="1"/>
    <col min="7" max="8" width="21.88671875" bestFit="1" customWidth="1"/>
    <col min="11" max="11" width="20.6640625" bestFit="1" customWidth="1"/>
    <col min="12" max="12" width="11.77734375" bestFit="1" customWidth="1"/>
  </cols>
  <sheetData>
    <row r="1" spans="1:12" x14ac:dyDescent="0.3">
      <c r="A1" t="s">
        <v>0</v>
      </c>
      <c r="B1" t="s">
        <v>1</v>
      </c>
      <c r="C1" t="s">
        <v>30</v>
      </c>
      <c r="D1" t="s">
        <v>2</v>
      </c>
      <c r="E1" t="s">
        <v>3</v>
      </c>
      <c r="F1" t="s">
        <v>18</v>
      </c>
      <c r="G1" t="s">
        <v>31</v>
      </c>
      <c r="H1" t="s">
        <v>32</v>
      </c>
    </row>
    <row r="2" spans="1:12" x14ac:dyDescent="0.3">
      <c r="A2">
        <v>1</v>
      </c>
      <c r="B2" t="s">
        <v>4</v>
      </c>
      <c r="C2">
        <v>1</v>
      </c>
      <c r="D2" t="s">
        <v>5</v>
      </c>
      <c r="E2">
        <v>60000</v>
      </c>
      <c r="F2" t="str">
        <f>IF(E2&gt;60000,"High Salary","Normal Salary")</f>
        <v>Normal Salary</v>
      </c>
      <c r="G2" t="str">
        <f>VLOOKUP(C2,Departments!$A$2:$C$6,2,FALSE)</f>
        <v>IT</v>
      </c>
      <c r="H2" t="str">
        <f>_xlfn.XLOOKUP(C2,Departments!$A$2:$A$6,Departments!$B$2:$B$6)</f>
        <v>IT</v>
      </c>
    </row>
    <row r="3" spans="1:12" x14ac:dyDescent="0.3">
      <c r="A3">
        <v>2</v>
      </c>
      <c r="B3" t="s">
        <v>6</v>
      </c>
      <c r="C3">
        <v>2</v>
      </c>
      <c r="D3" t="s">
        <v>7</v>
      </c>
      <c r="E3">
        <v>45000</v>
      </c>
      <c r="F3" t="str">
        <f t="shared" ref="F3:F11" si="0">IF(E3&gt;60000,"High Salary","Normal Salary")</f>
        <v>Normal Salary</v>
      </c>
      <c r="G3" t="str">
        <f>VLOOKUP(C3,Departments!$A$2:$C$6,2,FALSE)</f>
        <v>HR</v>
      </c>
      <c r="H3" t="str">
        <f>_xlfn.XLOOKUP(C3,Departments!$A$2:$A$6,Departments!$B$2:$B$6)</f>
        <v>HR</v>
      </c>
    </row>
    <row r="4" spans="1:12" x14ac:dyDescent="0.3">
      <c r="A4">
        <v>3</v>
      </c>
      <c r="B4" t="s">
        <v>8</v>
      </c>
      <c r="C4">
        <v>1</v>
      </c>
      <c r="D4" t="s">
        <v>5</v>
      </c>
      <c r="E4">
        <v>75000</v>
      </c>
      <c r="F4" t="str">
        <f t="shared" si="0"/>
        <v>High Salary</v>
      </c>
      <c r="G4" t="str">
        <f>VLOOKUP(C4,Departments!$A$2:$C$6,2,FALSE)</f>
        <v>IT</v>
      </c>
      <c r="H4" t="str">
        <f>_xlfn.XLOOKUP(C4,Departments!$A$2:$A$6,Departments!$B$2:$B$6)</f>
        <v>IT</v>
      </c>
    </row>
    <row r="5" spans="1:12" x14ac:dyDescent="0.3">
      <c r="A5">
        <v>4</v>
      </c>
      <c r="B5" t="s">
        <v>9</v>
      </c>
      <c r="C5">
        <v>3</v>
      </c>
      <c r="D5" t="s">
        <v>10</v>
      </c>
      <c r="E5">
        <v>55000</v>
      </c>
      <c r="F5" t="str">
        <f t="shared" si="0"/>
        <v>Normal Salary</v>
      </c>
      <c r="G5" t="str">
        <f>VLOOKUP(C5,Departments!$A$2:$C$6,2,FALSE)</f>
        <v>Finance</v>
      </c>
      <c r="H5" t="str">
        <f>_xlfn.XLOOKUP(C5,Departments!$A$2:$A$6,Departments!$B$2:$B$6)</f>
        <v>Finance</v>
      </c>
    </row>
    <row r="6" spans="1:12" x14ac:dyDescent="0.3">
      <c r="A6">
        <v>5</v>
      </c>
      <c r="B6" t="s">
        <v>11</v>
      </c>
      <c r="C6">
        <v>4</v>
      </c>
      <c r="D6" t="s">
        <v>12</v>
      </c>
      <c r="E6">
        <v>40000</v>
      </c>
      <c r="F6" t="str">
        <f t="shared" si="0"/>
        <v>Normal Salary</v>
      </c>
      <c r="G6" t="str">
        <f>VLOOKUP(C6,Departments!$A$2:$C$6,2,FALSE)</f>
        <v>Sales</v>
      </c>
      <c r="H6" t="str">
        <f>_xlfn.XLOOKUP(C6,Departments!$A$2:$A$6,Departments!$B$2:$B$6)</f>
        <v>Sales</v>
      </c>
    </row>
    <row r="7" spans="1:12" x14ac:dyDescent="0.3">
      <c r="A7">
        <v>6</v>
      </c>
      <c r="B7" t="s">
        <v>13</v>
      </c>
      <c r="C7">
        <v>1</v>
      </c>
      <c r="D7" t="s">
        <v>5</v>
      </c>
      <c r="E7">
        <v>65000</v>
      </c>
      <c r="F7" t="str">
        <f t="shared" si="0"/>
        <v>High Salary</v>
      </c>
      <c r="G7" t="str">
        <f>VLOOKUP(C7,Departments!$A$2:$C$6,2,FALSE)</f>
        <v>IT</v>
      </c>
      <c r="H7" t="str">
        <f>_xlfn.XLOOKUP(C7,Departments!$A$2:$A$6,Departments!$B$2:$B$6)</f>
        <v>IT</v>
      </c>
    </row>
    <row r="8" spans="1:12" x14ac:dyDescent="0.3">
      <c r="A8">
        <v>7</v>
      </c>
      <c r="B8" t="s">
        <v>14</v>
      </c>
      <c r="C8">
        <v>4</v>
      </c>
      <c r="D8" t="s">
        <v>12</v>
      </c>
      <c r="E8">
        <v>50000</v>
      </c>
      <c r="F8" t="str">
        <f t="shared" si="0"/>
        <v>Normal Salary</v>
      </c>
      <c r="G8" t="str">
        <f>VLOOKUP(C8,Departments!$A$2:$C$6,2,FALSE)</f>
        <v>Sales</v>
      </c>
      <c r="H8" t="str">
        <f>_xlfn.XLOOKUP(C8,Departments!$A$2:$A$6,Departments!$B$2:$B$6)</f>
        <v>Sales</v>
      </c>
    </row>
    <row r="9" spans="1:12" x14ac:dyDescent="0.3">
      <c r="A9">
        <v>8</v>
      </c>
      <c r="B9" t="s">
        <v>15</v>
      </c>
      <c r="C9">
        <v>2</v>
      </c>
      <c r="D9" t="s">
        <v>7</v>
      </c>
      <c r="E9">
        <v>48000</v>
      </c>
      <c r="F9" t="str">
        <f t="shared" si="0"/>
        <v>Normal Salary</v>
      </c>
      <c r="G9" t="str">
        <f>VLOOKUP(C9,Departments!$A$2:$C$6,2,FALSE)</f>
        <v>HR</v>
      </c>
      <c r="H9" t="str">
        <f>_xlfn.XLOOKUP(C9,Departments!$A$2:$A$6,Departments!$B$2:$B$6)</f>
        <v>HR</v>
      </c>
    </row>
    <row r="10" spans="1:12" x14ac:dyDescent="0.3">
      <c r="A10">
        <v>9</v>
      </c>
      <c r="B10" t="s">
        <v>16</v>
      </c>
      <c r="C10">
        <v>3</v>
      </c>
      <c r="D10" t="s">
        <v>10</v>
      </c>
      <c r="E10">
        <v>70000</v>
      </c>
      <c r="F10" t="str">
        <f t="shared" si="0"/>
        <v>High Salary</v>
      </c>
      <c r="G10" t="str">
        <f>VLOOKUP(C10,Departments!$A$2:$C$6,2,FALSE)</f>
        <v>Finance</v>
      </c>
      <c r="H10" t="str">
        <f>_xlfn.XLOOKUP(C10,Departments!$A$2:$A$6,Departments!$B$2:$B$6)</f>
        <v>Finance</v>
      </c>
    </row>
    <row r="11" spans="1:12" x14ac:dyDescent="0.3">
      <c r="A11">
        <v>10</v>
      </c>
      <c r="B11" t="s">
        <v>17</v>
      </c>
      <c r="C11">
        <v>1</v>
      </c>
      <c r="D11" t="s">
        <v>5</v>
      </c>
      <c r="E11">
        <v>80000</v>
      </c>
      <c r="F11" t="str">
        <f t="shared" si="0"/>
        <v>High Salary</v>
      </c>
      <c r="G11" t="str">
        <f>VLOOKUP(C11,Departments!$A$2:$C$6,2,FALSE)</f>
        <v>IT</v>
      </c>
      <c r="H11" t="str">
        <f>_xlfn.XLOOKUP(C11,Departments!$A$2:$A$6,Departments!$B$2:$B$6)</f>
        <v>IT</v>
      </c>
    </row>
    <row r="12" spans="1:12" x14ac:dyDescent="0.3">
      <c r="K12" t="s">
        <v>19</v>
      </c>
      <c r="L12" t="s">
        <v>20</v>
      </c>
    </row>
    <row r="13" spans="1:12" x14ac:dyDescent="0.3">
      <c r="K13">
        <f>COUNTIF(D2:D11,"IT")</f>
        <v>4</v>
      </c>
      <c r="L13">
        <f>SUMIF(D2:D11,"IT",E2:E11)</f>
        <v>280000</v>
      </c>
    </row>
  </sheetData>
  <conditionalFormatting sqref="E2:E11">
    <cfRule type="cellIs" dxfId="0" priority="1" operator="greaterThan">
      <formula>60000</formula>
    </cfRule>
  </conditionalFormatting>
  <pageMargins left="0.7" right="0.7" top="0.75" bottom="0.75" header="0.3" footer="0.3"/>
  <tableParts count="2">
    <tablePart r:id="rId1"/>
    <tablePart r:id="rId2"/>
  </tableParts>
</worksheet>
</file>

<file path=xl/worksheets/sheet2.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06C4D3-A300-4615-96BD-03999361B57D}">
  <dimension ref="A1:C6"/>
  <sheetViews>
    <sheetView workbookViewId="0">
      <selection activeCell="G10" sqref="G10"/>
    </sheetView>
  </sheetViews>
  <sheetFormatPr defaultRowHeight="14.4" x14ac:dyDescent="0.3"/>
  <cols>
    <col min="1" max="1" width="15.6640625" bestFit="1" customWidth="1"/>
    <col min="2" max="2" width="13.109375" bestFit="1" customWidth="1"/>
    <col min="3" max="3" width="10.44140625" bestFit="1" customWidth="1"/>
  </cols>
  <sheetData>
    <row r="1" spans="1:3" x14ac:dyDescent="0.3">
      <c r="A1" t="s">
        <v>21</v>
      </c>
      <c r="B1" t="s">
        <v>22</v>
      </c>
      <c r="C1" t="s">
        <v>23</v>
      </c>
    </row>
    <row r="2" spans="1:3" x14ac:dyDescent="0.3">
      <c r="A2">
        <v>1</v>
      </c>
      <c r="B2" s="1" t="s">
        <v>5</v>
      </c>
      <c r="C2" s="1" t="s">
        <v>24</v>
      </c>
    </row>
    <row r="3" spans="1:3" x14ac:dyDescent="0.3">
      <c r="A3">
        <v>2</v>
      </c>
      <c r="B3" s="1" t="s">
        <v>7</v>
      </c>
      <c r="C3" s="1" t="s">
        <v>25</v>
      </c>
    </row>
    <row r="4" spans="1:3" x14ac:dyDescent="0.3">
      <c r="A4">
        <v>3</v>
      </c>
      <c r="B4" s="1" t="s">
        <v>10</v>
      </c>
      <c r="C4" s="1" t="s">
        <v>26</v>
      </c>
    </row>
    <row r="5" spans="1:3" x14ac:dyDescent="0.3">
      <c r="A5">
        <v>4</v>
      </c>
      <c r="B5" s="1" t="s">
        <v>12</v>
      </c>
      <c r="C5" s="1" t="s">
        <v>27</v>
      </c>
    </row>
    <row r="6" spans="1:3" x14ac:dyDescent="0.3">
      <c r="A6">
        <v>5</v>
      </c>
      <c r="B6" s="1" t="s">
        <v>28</v>
      </c>
      <c r="C6" s="1" t="s">
        <v>29</v>
      </c>
    </row>
  </sheetData>
  <pageMargins left="0.7" right="0.7" top="0.75" bottom="0.75" header="0.3" footer="0.3"/>
  <tableParts count="1">
    <tablePart r:id="rId1"/>
  </tableParts>
</worksheet>
</file>

<file path=xl/worksheets/sheet3.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A0FD00-2F99-4343-AC94-A408BB54E530}">
  <dimension ref="A3:B8"/>
  <sheetViews>
    <sheetView tabSelected="1" workbookViewId="0">
      <selection activeCell="W1" sqref="W1"/>
    </sheetView>
  </sheetViews>
  <sheetFormatPr defaultRowHeight="14.4" x14ac:dyDescent="0.3"/>
  <cols>
    <col min="1" max="1" width="12.44140625" bestFit="1" customWidth="1"/>
    <col min="2" max="2" width="12.21875" bestFit="1" customWidth="1"/>
  </cols>
  <sheetData>
    <row r="3" spans="1:2" x14ac:dyDescent="0.3">
      <c r="A3" s="2" t="s">
        <v>33</v>
      </c>
      <c r="B3" t="s">
        <v>35</v>
      </c>
    </row>
    <row r="4" spans="1:2" x14ac:dyDescent="0.3">
      <c r="A4" s="3" t="s">
        <v>10</v>
      </c>
      <c r="B4" s="1">
        <v>125000</v>
      </c>
    </row>
    <row r="5" spans="1:2" x14ac:dyDescent="0.3">
      <c r="A5" s="3" t="s">
        <v>7</v>
      </c>
      <c r="B5" s="1">
        <v>93000</v>
      </c>
    </row>
    <row r="6" spans="1:2" x14ac:dyDescent="0.3">
      <c r="A6" s="3" t="s">
        <v>5</v>
      </c>
      <c r="B6" s="1">
        <v>280000</v>
      </c>
    </row>
    <row r="7" spans="1:2" x14ac:dyDescent="0.3">
      <c r="A7" s="3" t="s">
        <v>12</v>
      </c>
      <c r="B7" s="1">
        <v>90000</v>
      </c>
    </row>
    <row r="8" spans="1:2" x14ac:dyDescent="0.3">
      <c r="A8" s="3" t="s">
        <v>34</v>
      </c>
      <c r="B8" s="1">
        <v>588000</v>
      </c>
    </row>
  </sheetData>
  <pageMargins left="0.7" right="0.7" top="0.75" bottom="0.75" header="0.3" footer="0.3"/>
  <drawing r:id="rId2"/>
</worksheet>
</file>

<file path=customXml/_rels/item1.xml.rels><?xml version="1.0" encoding="UTF-8" standalone="yes"?>
<Relationships xmlns="http://schemas.openxmlformats.org/package/2006/relationships"><Relationship Id="rId1" Type="http://purl.oclc.org/ooxml/officeDocument/relationships/customXmlProps" Target="itemProps1.xml"/></Relationships>
</file>

<file path=customXml/item1.xml>��
</file>

<file path=customXml/itemProps1.xml><?xml version="1.0" encoding="utf-8"?>
<ds:datastoreItem xmlns:ds="http://purl.oclc.org/ooxml/officeDocument/customXml" ds:itemID="{A00B844C-41F5-4EA5-964B-230F25DDF8F1}">
  <ds:schemaRefs>
    <ds:schemaRef ds:uri="http://schemas.microsoft.com/DataMashup"/>
  </ds:schemaRefs>
</ds:datastoreItem>
</file>

<file path=docProps/app.xml><?xml version="1.0" encoding="utf-8"?>
<Properties xmlns="http://purl.oclc.org/ooxml/officeDocument/extendedProperties" xmlns:vt="http://purl.oclc.org/ooxml/officeDocument/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Employees</vt:lpstr>
      <vt:lpstr>Departments</vt:lpstr>
      <vt:lpstr>Pivot Table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SAGA TEJASWI LAKSHMI PRIYA DURGA</dc:creator>
  <cp:lastModifiedBy>SAGA TEJASWI LAKSHMI PRIYA DURGA</cp:lastModifiedBy>
  <dcterms:created xsi:type="dcterms:W3CDTF">2026-10-01T09:18:07Z</dcterms:created>
  <dcterms:modified xsi:type="dcterms:W3CDTF">2026-10-01T10:15:12Z</dcterms:modified>
</cp:coreProperties>
</file>